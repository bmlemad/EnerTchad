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Identite" sheetId="2" state="visible" r:id="rId4"/>
    <sheet name="Capital et jalons" sheetId="3" state="visible" r:id="rId5"/>
    <sheet name="Cibles 2030" sheetId="4" state="visible" r:id="rId6"/>
    <sheet name="Allocation cible" sheetId="5" state="visible" r:id="rId7"/>
    <sheet name="Contexte march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<sst xmlns="http://schemas.openxmlformats.org/spreadsheetml/2006/main" count="267" uniqueCount="166">
  <si>
    <t xml:space="preserve">EnerTchad S.A. — Data book investisseur</t>
  </si>
  <si>
    <t xml:space="preserve">Societe petroliere integree de droit OHADA — societe en constitution</t>
  </si>
  <si>
    <t xml:space="preserve">AVERTISSEMENT — Tous les chiffres de ce classeur sont des OBJECTIFS DATES d'une societe en constitution,</t>
  </si>
  <si>
    <t xml:space="preserve">ou des donnees de CONTEXTE de marche. Aucun actif n'est en exploitation a ce jour. Rien ici ne constitue</t>
  </si>
  <si>
    <t xml:space="preserve">une offre de souscription. Aucun canal de paiement n'est ouvert (voir /avertissements#anti-fraude).</t>
  </si>
  <si>
    <t xml:space="preserve">Chaque ligne cite sa page source sur le site (colonne Source) et son millesime (colonne Millesime).</t>
  </si>
  <si>
    <t xml:space="preserve">Statuts utilises : fait · en cours · cible · contexte. En bleu : valeurs d'entree ; la ligne Total est calculee.</t>
  </si>
  <si>
    <t xml:space="preserve">Extraction : 28 aout 2026, depuis le site officiel https://enertchad-delta.vercel.app</t>
  </si>
  <si>
    <t xml:space="preserve">Contact investisseurs : contact@enertchad.td · +235 99 29 86 96 · Partenaire investissement : GCIC</t>
  </si>
  <si>
    <t xml:space="preserve">English readers: figures are dated targets of a company in formation, or market context;</t>
  </si>
  <si>
    <t xml:space="preserve">statuses are fait=done, en cours=in progress, cible=target, contexte=context.</t>
  </si>
  <si>
    <t xml:space="preserve">Element</t>
  </si>
  <si>
    <t xml:space="preserve">Valeur</t>
  </si>
  <si>
    <t xml:space="preserve">Statut</t>
  </si>
  <si>
    <t xml:space="preserve">Source</t>
  </si>
  <si>
    <t xml:space="preserve">Millesime</t>
  </si>
  <si>
    <t xml:space="preserve">Raison sociale</t>
  </si>
  <si>
    <t xml:space="preserve">EnerTchad S.A.</t>
  </si>
  <si>
    <t xml:space="preserve">fait</t>
  </si>
  <si>
    <t xml:space="preserve">https://enertchad-delta.vercel.app/societe</t>
  </si>
  <si>
    <t xml:space="preserve">2026</t>
  </si>
  <si>
    <t xml:space="preserve">Forme juridique</t>
  </si>
  <si>
    <t xml:space="preserve">Societe anonyme de droit OHADA (AUSCGIE)</t>
  </si>
  <si>
    <t xml:space="preserve">Societe en constitution</t>
  </si>
  <si>
    <t xml:space="preserve">en cours</t>
  </si>
  <si>
    <t xml:space="preserve">Objet</t>
  </si>
  <si>
    <t xml:space="preserve">Societe petroliere integree — de l'exploration-production a la distribution</t>
  </si>
  <si>
    <t xml:space="preserve">Siege</t>
  </si>
  <si>
    <t xml:space="preserve">Radisson Blu, Block D, Bureau 23, Sabangali, N'Djamena, Tchad</t>
  </si>
  <si>
    <t xml:space="preserve">https://enertchad-delta.vercel.app/contact</t>
  </si>
  <si>
    <t xml:space="preserve">RCCM</t>
  </si>
  <si>
    <t xml:space="preserve">N'DJ/RC/2026-A-0001 (immatriculation en cours)</t>
  </si>
  <si>
    <t xml:space="preserve">Domaine</t>
  </si>
  <si>
    <t xml:space="preserve">enertchad.td</t>
  </si>
  <si>
    <t xml:space="preserve">https://enertchad-delta.vercel.app/</t>
  </si>
  <si>
    <t xml:space="preserve">Organisation</t>
  </si>
  <si>
    <t xml:space="preserve">Societe unique (pas un groupe) — 8 poles d'activite internes</t>
  </si>
  <si>
    <t xml:space="preserve">https://enertchad-delta.vercel.app/societe#poles</t>
  </si>
  <si>
    <t xml:space="preserve">Poles chaine (4)</t>
  </si>
  <si>
    <t xml:space="preserve">Amont · Intermediaire · Aval · Petrochimie</t>
  </si>
  <si>
    <t xml:space="preserve">Poles supports (4)</t>
  </si>
  <si>
    <t xml:space="preserve">GreenTech · TchadiTech · Tchaditude · EnerConseils</t>
  </si>
  <si>
    <t xml:space="preserve">Signature</t>
  </si>
  <si>
    <t xml:space="preserve">« De la roche-mere a la pompe. »</t>
  </si>
  <si>
    <t xml:space="preserve">Partenaire investissement</t>
  </si>
  <si>
    <t xml:space="preserve">GCIC</t>
  </si>
  <si>
    <t xml:space="preserve">https://enertchad-delta.vercel.app/investisseurs</t>
  </si>
  <si>
    <t xml:space="preserve">Jalon</t>
  </si>
  <si>
    <t xml:space="preserve">Unite</t>
  </si>
  <si>
    <t xml:space="preserve">Statut / detail</t>
  </si>
  <si>
    <t xml:space="preserve">Capital fondateur</t>
  </si>
  <si>
    <t xml:space="preserve">10</t>
  </si>
  <si>
    <t xml:space="preserve">M FCFA</t>
  </si>
  <si>
    <t xml:space="preserve">fait — 100 % tchadien, societe creee</t>
  </si>
  <si>
    <t xml:space="preserve">https://enertchad-delta.vercel.app/investisseurs#jalons</t>
  </si>
  <si>
    <t xml:space="preserve">Immatriculation RCCM / NIF</t>
  </si>
  <si>
    <t xml:space="preserve">—</t>
  </si>
  <si>
    <t xml:space="preserve">en cours — formalisation OHADA</t>
  </si>
  <si>
    <t xml:space="preserve">1re levee visee</t>
  </si>
  <si>
    <t xml:space="preserve">1 000</t>
  </si>
  <si>
    <t xml:space="preserve">cible — court terme, tours d'amorcage avec GCIC</t>
  </si>
  <si>
    <t xml:space="preserve">Pilote EOR (1re preuve terrain)</t>
  </si>
  <si>
    <t xml:space="preserve">cible — 2 a 4 ans</t>
  </si>
  <si>
    <t xml:space="preserve">Capital long terme vise</t>
  </si>
  <si>
    <t xml:space="preserve">20 000</t>
  </si>
  <si>
    <t xml:space="preserve">cible — 4 ans et plus, production puis petrochimie</t>
  </si>
  <si>
    <t xml:space="preserve">Publication du memorandum</t>
  </si>
  <si>
    <t xml:space="preserve">T3 2026</t>
  </si>
  <si>
    <t xml:space="preserve">cible — agenda investisseur</t>
  </si>
  <si>
    <t xml:space="preserve">https://enertchad-delta.vercel.app/investisseurs#agenda</t>
  </si>
  <si>
    <t xml:space="preserve">Webinaire investisseurs</t>
  </si>
  <si>
    <t xml:space="preserve">Data room &amp; rencontres (GCIC)</t>
  </si>
  <si>
    <t xml:space="preserve">T4 2026</t>
  </si>
  <si>
    <t xml:space="preserve">Calendrier abonnable (.ics)</t>
  </si>
  <si>
    <t xml:space="preserve">disponible</t>
  </si>
  <si>
    <t xml:space="preserve">https://enertchad-delta.vercel.app/agenda-investisseur.ics</t>
  </si>
  <si>
    <t xml:space="preserve">Indicateur</t>
  </si>
  <si>
    <t xml:space="preserve">Production visee</t>
  </si>
  <si>
    <t xml:space="preserve">250</t>
  </si>
  <si>
    <t xml:space="preserve">kb/j</t>
  </si>
  <si>
    <t xml:space="preserve">cible 2030</t>
  </si>
  <si>
    <t xml:space="preserve">https://enertchad-delta.vercel.app/cibles-2030</t>
  </si>
  <si>
    <t xml:space="preserve">2030</t>
  </si>
  <si>
    <t xml:space="preserve">Poles d'activite</t>
  </si>
  <si>
    <t xml:space="preserve">8</t>
  </si>
  <si>
    <t xml:space="preserve">poles</t>
  </si>
  <si>
    <t xml:space="preserve">fait — organisation interne</t>
  </si>
  <si>
    <t xml:space="preserve">Capital &amp; talents tchadiens</t>
  </si>
  <si>
    <t xml:space="preserve">100</t>
  </si>
  <si>
    <t xml:space="preserve">%</t>
  </si>
  <si>
    <t xml:space="preserve">principe</t>
  </si>
  <si>
    <t xml:space="preserve">Capital cible</t>
  </si>
  <si>
    <t xml:space="preserve">20</t>
  </si>
  <si>
    <t xml:space="preserve">Md FCFA</t>
  </si>
  <si>
    <t xml:space="preserve">cible long terme</t>
  </si>
  <si>
    <t xml:space="preserve">Energie de site renouvelable</t>
  </si>
  <si>
    <t xml:space="preserve">30</t>
  </si>
  <si>
    <t xml:space="preserve">%+</t>
  </si>
  <si>
    <t xml:space="preserve">cible — hybridation gaz-solaire</t>
  </si>
  <si>
    <t xml:space="preserve">Reseau de stations</t>
  </si>
  <si>
    <t xml:space="preserve">12</t>
  </si>
  <si>
    <t xml:space="preserve">stations</t>
  </si>
  <si>
    <t xml:space="preserve">cible — ultra-premium &amp; mobiles, prix ARSAT</t>
  </si>
  <si>
    <t xml:space="preserve">Mini-raffinerie modulaire</t>
  </si>
  <si>
    <t xml:space="preserve">500 a 2 000</t>
  </si>
  <si>
    <t xml:space="preserve">b/j</t>
  </si>
  <si>
    <t xml:space="preserve">cible — trains sur skid, axe N'Djamena-Djarmaya</t>
  </si>
  <si>
    <t xml:space="preserve">https://enertchad-delta.vercel.app/aval/raffinage</t>
  </si>
  <si>
    <t xml:space="preserve">Horizon court — mise en route</t>
  </si>
  <si>
    <t xml:space="preserve">GPL domestique · engrais azotes (gaz vers uree/NPK) · intrants EOR (ASP) locaux · hybridation gaz-solaire</t>
  </si>
  <si>
    <t xml:space="preserve">cible — filieres mures</t>
  </si>
  <si>
    <t xml:space="preserve">court terme</t>
  </si>
  <si>
    <t xml:space="preserve">Horizon moyen — montee en puissance</t>
  </si>
  <si>
    <t xml:space="preserve">Mini-raffineries modulaires · methanol, soufre, bitumes &amp; lubrifiants · chimie de production · maintenance 4.0 · fin du torchage de routine</t>
  </si>
  <si>
    <t xml:space="preserve">cible — valorisation</t>
  </si>
  <si>
    <t xml:space="preserve">moyen terme</t>
  </si>
  <si>
    <t xml:space="preserve">Horizon long — transformation</t>
  </si>
  <si>
    <t xml:space="preserve">250 kb/j · polymeres (PP, PE, PVC) · petrochimie avancee (olefines/aromatiques) · capital 20 Md FCFA</t>
  </si>
  <si>
    <t xml:space="preserve">cible — capitalistique</t>
  </si>
  <si>
    <t xml:space="preserve">long terme</t>
  </si>
  <si>
    <t xml:space="preserve">Poste</t>
  </si>
  <si>
    <t xml:space="preserve">Detail</t>
  </si>
  <si>
    <t xml:space="preserve">Part cible</t>
  </si>
  <si>
    <t xml:space="preserve">Amont &amp; reprise de champs</t>
  </si>
  <si>
    <t xml:space="preserve">Reprise de champs matures, EOR a intrants locaux, sismique</t>
  </si>
  <si>
    <t xml:space="preserve">Aval &amp; mini-raffinerie modulaire</t>
  </si>
  <si>
    <t xml:space="preserve">Trains 500-2 000 b/j sur skid, reseau de distribution</t>
  </si>
  <si>
    <t xml:space="preserve">Intermediaire &amp; stockage</t>
  </si>
  <si>
    <t xml:space="preserve">Corridor d'export, reserve distribuee, logistique HSE</t>
  </si>
  <si>
    <t xml:space="preserve">Technologies, donnees &amp; HSE</t>
  </si>
  <si>
    <t xml:space="preserve">Socle numerique, supervision, securite industrielle</t>
  </si>
  <si>
    <t xml:space="preserve">Talents &amp; contenu local</t>
  </si>
  <si>
    <t xml:space="preserve">Academie Tchaditude, transfert de competences</t>
  </si>
  <si>
    <t xml:space="preserve">Structuration &amp; fonds de roulement</t>
  </si>
  <si>
    <t xml:space="preserve">Conformite OHADA, gouvernance, amorcage</t>
  </si>
  <si>
    <t xml:space="preserve">Total</t>
  </si>
  <si>
    <t xml:space="preserve">Allocation cible et indicative des fonds propres recherches — ajustable au rythme des levees ; arretee au closing de chaque tranche. Source : https://enertchad-delta.vercel.app/investisseurs#affectation</t>
  </si>
  <si>
    <t xml:space="preserve">Production nationale du Tchad</t>
  </si>
  <si>
    <t xml:space="preserve">144</t>
  </si>
  <si>
    <t xml:space="preserve">contexte — le pays produit depuis 2003</t>
  </si>
  <si>
    <t xml:space="preserve">https://enertchad-delta.vercel.app/enerconseils/atlas#donnees-secteur</t>
  </si>
  <si>
    <t xml:space="preserve">2025</t>
  </si>
  <si>
    <t xml:space="preserve">Trajectoire nationale visee</t>
  </si>
  <si>
    <t xml:space="preserve">144 vers 250</t>
  </si>
  <si>
    <t xml:space="preserve">contexte — cible 2030 du pays</t>
  </si>
  <si>
    <t xml:space="preserve">2025-2030</t>
  </si>
  <si>
    <t xml:space="preserve">Evacuation du brut</t>
  </si>
  <si>
    <t xml:space="preserve">Oleoduc Doba-Kribi (Cameroun)</t>
  </si>
  <si>
    <t xml:space="preserve">contexte — corridor d'export existant</t>
  </si>
  <si>
    <t xml:space="preserve">https://enertchad-delta.vercel.app/intermediaire/logistique</t>
  </si>
  <si>
    <t xml:space="preserve">Fourchette Brent retenue</t>
  </si>
  <si>
    <t xml:space="preserve">60 a 70</t>
  </si>
  <si>
    <t xml:space="preserve">$/b</t>
  </si>
  <si>
    <t xml:space="preserve">hypothese de planification — decote qualite Doba</t>
  </si>
  <si>
    <t xml:space="preserve">Reperes Brent 2026</t>
  </si>
  <si>
    <t xml:space="preserve">consensus ~58 $ (fevrier) · ~85 $ (ete)</t>
  </si>
  <si>
    <t xml:space="preserve">contexte</t>
  </si>
  <si>
    <t xml:space="preserve">Brent 2027 (EIA)</t>
  </si>
  <si>
    <t xml:space="preserve">~69</t>
  </si>
  <si>
    <t xml:space="preserve">contexte — vision EIA</t>
  </si>
  <si>
    <t xml:space="preserve">2027</t>
  </si>
  <si>
    <t xml:space="preserve">Parite monetaire</t>
  </si>
  <si>
    <t xml:space="preserve">1 EUR = 655,957</t>
  </si>
  <si>
    <t xml:space="preserve">FCFA</t>
  </si>
  <si>
    <t xml:space="preserve">contexte — parite fixe zone CEMAC</t>
  </si>
  <si>
    <t xml:space="preserve">fixe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</si>
</sst>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D33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E8C36A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8"/>
      <rgbColor rgb="FFCCFFFF"/>
      <rgbColor rgb="FF660066"/>
      <rgbColor rgb="FFFF8080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36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11D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4" t="s">
        <v>4</v>
      </c>
    </row>
    <row r="7" customFormat="false" ht="15" hidden="false" customHeight="true" outlineLevel="0" collapsed="false">
      <c r="A7" s="4"/>
    </row>
    <row r="8" customFormat="false" ht="15" hidden="false" customHeight="true" outlineLevel="0" collapsed="false">
      <c r="A8" s="4" t="s">
        <v>5</v>
      </c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4"/>
    </row>
    <row r="11" customFormat="false" ht="15" hidden="false" customHeight="true" outlineLevel="0" collapsed="false">
      <c r="A11" s="4" t="s">
        <v>7</v>
      </c>
    </row>
    <row r="12" customFormat="false" ht="15" hidden="false" customHeight="true" outlineLevel="0" collapsed="false">
      <c r="A12" s="4" t="s">
        <v>8</v>
      </c>
    </row>
    <row r="13" customFormat="false" ht="15" hidden="false" customHeight="true" outlineLevel="0" collapsed="false">
      <c r="A13" s="4"/>
    </row>
    <row r="14" customFormat="false" ht="15" hidden="false" customHeight="true" outlineLevel="0" collapsed="false">
      <c r="A14" s="4" t="s">
        <v>9</v>
      </c>
    </row>
    <row r="15" customFormat="false" ht="15" hidden="false" customHeight="true" outlineLevel="0" collapsed="false">
      <c r="A15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4"/>
    <col collapsed="false" customWidth="true" hidden="false" outlineLevel="0" max="3" min="3" style="1" width="10"/>
    <col collapsed="false" customWidth="true" hidden="false" outlineLevel="0" max="4" min="4" style="1" width="44"/>
    <col collapsed="false" customWidth="true" hidden="false" outlineLevel="0" max="5" min="5" style="1" width="10"/>
  </cols>
  <sheetData>
    <row r="1" customFormat="false" ht="15" hidden="false" customHeight="true" outlineLevel="0" collapsed="false">
      <c r="A1" s="5" t="s">
        <v>11</v>
      </c>
      <c r="B1" s="5" t="s">
        <v>12</v>
      </c>
      <c r="C1" s="5" t="s">
        <v>13</v>
      </c>
      <c r="D1" s="5" t="s">
        <v>14</v>
      </c>
      <c r="E1" s="5" t="s">
        <v>15</v>
      </c>
    </row>
    <row r="2" customFormat="false" ht="15" hidden="false" customHeight="true" outlineLevel="0" collapsed="false">
      <c r="A2" s="6" t="s">
        <v>16</v>
      </c>
      <c r="B2" s="6" t="s">
        <v>17</v>
      </c>
      <c r="C2" s="6" t="s">
        <v>18</v>
      </c>
      <c r="D2" s="6" t="s">
        <v>19</v>
      </c>
      <c r="E2" s="6" t="s">
        <v>20</v>
      </c>
    </row>
    <row r="3" customFormat="false" ht="15" hidden="false" customHeight="true" outlineLevel="0" collapsed="false">
      <c r="A3" s="7" t="s">
        <v>21</v>
      </c>
      <c r="B3" s="7" t="s">
        <v>22</v>
      </c>
      <c r="C3" s="7" t="s">
        <v>18</v>
      </c>
      <c r="D3" s="7" t="s">
        <v>19</v>
      </c>
      <c r="E3" s="7" t="s">
        <v>20</v>
      </c>
    </row>
    <row r="4" customFormat="false" ht="15" hidden="false" customHeight="true" outlineLevel="0" collapsed="false">
      <c r="A4" s="6" t="s">
        <v>13</v>
      </c>
      <c r="B4" s="6" t="s">
        <v>23</v>
      </c>
      <c r="C4" s="6" t="s">
        <v>24</v>
      </c>
      <c r="D4" s="6" t="s">
        <v>19</v>
      </c>
      <c r="E4" s="6" t="s">
        <v>20</v>
      </c>
    </row>
    <row r="5" customFormat="false" ht="15" hidden="false" customHeight="true" outlineLevel="0" collapsed="false">
      <c r="A5" s="7" t="s">
        <v>25</v>
      </c>
      <c r="B5" s="7" t="s">
        <v>26</v>
      </c>
      <c r="C5" s="7" t="s">
        <v>18</v>
      </c>
      <c r="D5" s="7" t="s">
        <v>19</v>
      </c>
      <c r="E5" s="7" t="s">
        <v>20</v>
      </c>
    </row>
    <row r="6" customFormat="false" ht="15" hidden="false" customHeight="true" outlineLevel="0" collapsed="false">
      <c r="A6" s="6" t="s">
        <v>27</v>
      </c>
      <c r="B6" s="6" t="s">
        <v>28</v>
      </c>
      <c r="C6" s="6" t="s">
        <v>18</v>
      </c>
      <c r="D6" s="6" t="s">
        <v>29</v>
      </c>
      <c r="E6" s="6" t="s">
        <v>20</v>
      </c>
    </row>
    <row r="7" customFormat="false" ht="15" hidden="false" customHeight="true" outlineLevel="0" collapsed="false">
      <c r="A7" s="7" t="s">
        <v>30</v>
      </c>
      <c r="B7" s="7" t="s">
        <v>31</v>
      </c>
      <c r="C7" s="7" t="s">
        <v>24</v>
      </c>
      <c r="D7" s="7" t="s">
        <v>19</v>
      </c>
      <c r="E7" s="7" t="s">
        <v>20</v>
      </c>
    </row>
    <row r="8" customFormat="false" ht="15" hidden="false" customHeight="true" outlineLevel="0" collapsed="false">
      <c r="A8" s="6" t="s">
        <v>32</v>
      </c>
      <c r="B8" s="6" t="s">
        <v>33</v>
      </c>
      <c r="C8" s="6" t="s">
        <v>18</v>
      </c>
      <c r="D8" s="6" t="s">
        <v>34</v>
      </c>
      <c r="E8" s="6" t="s">
        <v>20</v>
      </c>
    </row>
    <row r="9" customFormat="false" ht="15" hidden="false" customHeight="true" outlineLevel="0" collapsed="false">
      <c r="A9" s="7" t="s">
        <v>35</v>
      </c>
      <c r="B9" s="7" t="s">
        <v>36</v>
      </c>
      <c r="C9" s="7" t="s">
        <v>18</v>
      </c>
      <c r="D9" s="7" t="s">
        <v>37</v>
      </c>
      <c r="E9" s="7" t="s">
        <v>20</v>
      </c>
    </row>
    <row r="10" customFormat="false" ht="15" hidden="false" customHeight="true" outlineLevel="0" collapsed="false">
      <c r="A10" s="6" t="s">
        <v>38</v>
      </c>
      <c r="B10" s="6" t="s">
        <v>39</v>
      </c>
      <c r="C10" s="6" t="s">
        <v>18</v>
      </c>
      <c r="D10" s="6" t="s">
        <v>37</v>
      </c>
      <c r="E10" s="6" t="s">
        <v>20</v>
      </c>
    </row>
    <row r="11" customFormat="false" ht="15" hidden="false" customHeight="true" outlineLevel="0" collapsed="false">
      <c r="A11" s="7" t="s">
        <v>40</v>
      </c>
      <c r="B11" s="7" t="s">
        <v>41</v>
      </c>
      <c r="C11" s="7" t="s">
        <v>18</v>
      </c>
      <c r="D11" s="7" t="s">
        <v>37</v>
      </c>
      <c r="E11" s="7" t="s">
        <v>20</v>
      </c>
    </row>
    <row r="12" customFormat="false" ht="15" hidden="false" customHeight="true" outlineLevel="0" collapsed="false">
      <c r="A12" s="6" t="s">
        <v>42</v>
      </c>
      <c r="B12" s="6" t="s">
        <v>43</v>
      </c>
      <c r="C12" s="6" t="s">
        <v>18</v>
      </c>
      <c r="D12" s="6" t="s">
        <v>34</v>
      </c>
      <c r="E12" s="6" t="s">
        <v>20</v>
      </c>
    </row>
    <row r="13" customFormat="false" ht="15" hidden="false" customHeight="true" outlineLevel="0" collapsed="false">
      <c r="A13" s="7" t="s">
        <v>44</v>
      </c>
      <c r="B13" s="7" t="s">
        <v>45</v>
      </c>
      <c r="C13" s="7" t="s">
        <v>18</v>
      </c>
      <c r="D13" s="7" t="s">
        <v>46</v>
      </c>
      <c r="E13" s="7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48"/>
    <col collapsed="false" customWidth="true" hidden="false" outlineLevel="0" max="5" min="5" style="1" width="46"/>
    <col collapsed="false" customWidth="true" hidden="false" outlineLevel="0" max="6" min="6" style="1" width="10"/>
  </cols>
  <sheetData>
    <row r="1" customFormat="false" ht="15" hidden="false" customHeight="true" outlineLevel="0" collapsed="false">
      <c r="A1" s="5" t="s">
        <v>47</v>
      </c>
      <c r="B1" s="5" t="s">
        <v>12</v>
      </c>
      <c r="C1" s="5" t="s">
        <v>48</v>
      </c>
      <c r="D1" s="5" t="s">
        <v>49</v>
      </c>
      <c r="E1" s="5" t="s">
        <v>14</v>
      </c>
      <c r="F1" s="5" t="s">
        <v>15</v>
      </c>
    </row>
    <row r="2" customFormat="false" ht="15" hidden="false" customHeight="true" outlineLevel="0" collapsed="false">
      <c r="A2" s="6" t="s">
        <v>50</v>
      </c>
      <c r="B2" s="6" t="s">
        <v>51</v>
      </c>
      <c r="C2" s="6" t="s">
        <v>52</v>
      </c>
      <c r="D2" s="6" t="s">
        <v>53</v>
      </c>
      <c r="E2" s="6" t="s">
        <v>54</v>
      </c>
      <c r="F2" s="6" t="s">
        <v>20</v>
      </c>
    </row>
    <row r="3" customFormat="false" ht="15" hidden="false" customHeight="true" outlineLevel="0" collapsed="false">
      <c r="A3" s="7" t="s">
        <v>55</v>
      </c>
      <c r="B3" s="7" t="s">
        <v>56</v>
      </c>
      <c r="C3" s="7" t="s">
        <v>56</v>
      </c>
      <c r="D3" s="7" t="s">
        <v>57</v>
      </c>
      <c r="E3" s="7" t="s">
        <v>54</v>
      </c>
      <c r="F3" s="7" t="s">
        <v>20</v>
      </c>
    </row>
    <row r="4" customFormat="false" ht="15" hidden="false" customHeight="true" outlineLevel="0" collapsed="false">
      <c r="A4" s="6" t="s">
        <v>58</v>
      </c>
      <c r="B4" s="6" t="s">
        <v>59</v>
      </c>
      <c r="C4" s="6" t="s">
        <v>52</v>
      </c>
      <c r="D4" s="6" t="s">
        <v>60</v>
      </c>
      <c r="E4" s="6" t="s">
        <v>54</v>
      </c>
      <c r="F4" s="6" t="s">
        <v>20</v>
      </c>
    </row>
    <row r="5" customFormat="false" ht="15" hidden="false" customHeight="true" outlineLevel="0" collapsed="false">
      <c r="A5" s="7" t="s">
        <v>61</v>
      </c>
      <c r="B5" s="7" t="s">
        <v>56</v>
      </c>
      <c r="C5" s="7" t="s">
        <v>56</v>
      </c>
      <c r="D5" s="7" t="s">
        <v>62</v>
      </c>
      <c r="E5" s="7" t="s">
        <v>54</v>
      </c>
      <c r="F5" s="7" t="s">
        <v>20</v>
      </c>
    </row>
    <row r="6" customFormat="false" ht="15" hidden="false" customHeight="true" outlineLevel="0" collapsed="false">
      <c r="A6" s="6" t="s">
        <v>63</v>
      </c>
      <c r="B6" s="6" t="s">
        <v>64</v>
      </c>
      <c r="C6" s="6" t="s">
        <v>52</v>
      </c>
      <c r="D6" s="6" t="s">
        <v>65</v>
      </c>
      <c r="E6" s="6" t="s">
        <v>54</v>
      </c>
      <c r="F6" s="6" t="s">
        <v>20</v>
      </c>
    </row>
    <row r="7" customFormat="false" ht="15" hidden="false" customHeight="true" outlineLevel="0" collapsed="false">
      <c r="A7" s="7" t="s">
        <v>66</v>
      </c>
      <c r="B7" s="7" t="s">
        <v>67</v>
      </c>
      <c r="C7" s="7" t="s">
        <v>56</v>
      </c>
      <c r="D7" s="7" t="s">
        <v>68</v>
      </c>
      <c r="E7" s="7" t="s">
        <v>69</v>
      </c>
      <c r="F7" s="7" t="s">
        <v>20</v>
      </c>
    </row>
    <row r="8" customFormat="false" ht="15" hidden="false" customHeight="true" outlineLevel="0" collapsed="false">
      <c r="A8" s="6" t="s">
        <v>70</v>
      </c>
      <c r="B8" s="6" t="s">
        <v>67</v>
      </c>
      <c r="C8" s="6" t="s">
        <v>56</v>
      </c>
      <c r="D8" s="6" t="s">
        <v>68</v>
      </c>
      <c r="E8" s="6" t="s">
        <v>69</v>
      </c>
      <c r="F8" s="6" t="s">
        <v>20</v>
      </c>
    </row>
    <row r="9" customFormat="false" ht="15" hidden="false" customHeight="true" outlineLevel="0" collapsed="false">
      <c r="A9" s="7" t="s">
        <v>71</v>
      </c>
      <c r="B9" s="7" t="s">
        <v>72</v>
      </c>
      <c r="C9" s="7" t="s">
        <v>56</v>
      </c>
      <c r="D9" s="7" t="s">
        <v>68</v>
      </c>
      <c r="E9" s="7" t="s">
        <v>69</v>
      </c>
      <c r="F9" s="7" t="s">
        <v>20</v>
      </c>
    </row>
    <row r="10" customFormat="false" ht="23.25" hidden="false" customHeight="true" outlineLevel="0" collapsed="false">
      <c r="A10" s="6" t="s">
        <v>73</v>
      </c>
      <c r="B10" s="6" t="s">
        <v>56</v>
      </c>
      <c r="C10" s="6" t="s">
        <v>56</v>
      </c>
      <c r="D10" s="6" t="s">
        <v>74</v>
      </c>
      <c r="E10" s="6" t="s">
        <v>75</v>
      </c>
      <c r="F10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2"/>
    <col collapsed="false" customWidth="true" hidden="false" outlineLevel="0" max="3" min="3" style="1" width="9"/>
    <col collapsed="false" customWidth="true" hidden="false" outlineLevel="0" max="4" min="4" style="1" width="40"/>
    <col collapsed="false" customWidth="true" hidden="false" outlineLevel="0" max="5" min="5" style="1" width="42"/>
    <col collapsed="false" customWidth="true" hidden="false" outlineLevel="0" max="6" min="6" style="1" width="12"/>
  </cols>
  <sheetData>
    <row r="1" customFormat="false" ht="15" hidden="false" customHeight="true" outlineLevel="0" collapsed="false">
      <c r="A1" s="5" t="s">
        <v>76</v>
      </c>
      <c r="B1" s="5" t="s">
        <v>12</v>
      </c>
      <c r="C1" s="5" t="s">
        <v>48</v>
      </c>
      <c r="D1" s="5" t="s">
        <v>49</v>
      </c>
      <c r="E1" s="5" t="s">
        <v>14</v>
      </c>
      <c r="F1" s="5" t="s">
        <v>15</v>
      </c>
    </row>
    <row r="2" customFormat="false" ht="15" hidden="false" customHeight="true" outlineLevel="0" collapsed="false">
      <c r="A2" s="6" t="s">
        <v>77</v>
      </c>
      <c r="B2" s="6" t="s">
        <v>78</v>
      </c>
      <c r="C2" s="6" t="s">
        <v>79</v>
      </c>
      <c r="D2" s="6" t="s">
        <v>80</v>
      </c>
      <c r="E2" s="6" t="s">
        <v>81</v>
      </c>
      <c r="F2" s="6" t="s">
        <v>82</v>
      </c>
    </row>
    <row r="3" customFormat="false" ht="15" hidden="false" customHeight="true" outlineLevel="0" collapsed="false">
      <c r="A3" s="7" t="s">
        <v>83</v>
      </c>
      <c r="B3" s="7" t="s">
        <v>84</v>
      </c>
      <c r="C3" s="7" t="s">
        <v>85</v>
      </c>
      <c r="D3" s="7" t="s">
        <v>86</v>
      </c>
      <c r="E3" s="7" t="s">
        <v>81</v>
      </c>
      <c r="F3" s="7" t="s">
        <v>20</v>
      </c>
    </row>
    <row r="4" customFormat="false" ht="15" hidden="false" customHeight="true" outlineLevel="0" collapsed="false">
      <c r="A4" s="6" t="s">
        <v>87</v>
      </c>
      <c r="B4" s="6" t="s">
        <v>88</v>
      </c>
      <c r="C4" s="6" t="s">
        <v>89</v>
      </c>
      <c r="D4" s="6" t="s">
        <v>90</v>
      </c>
      <c r="E4" s="6" t="s">
        <v>81</v>
      </c>
      <c r="F4" s="6" t="s">
        <v>20</v>
      </c>
    </row>
    <row r="5" customFormat="false" ht="15" hidden="false" customHeight="true" outlineLevel="0" collapsed="false">
      <c r="A5" s="7" t="s">
        <v>91</v>
      </c>
      <c r="B5" s="7" t="s">
        <v>92</v>
      </c>
      <c r="C5" s="7" t="s">
        <v>93</v>
      </c>
      <c r="D5" s="7" t="s">
        <v>94</v>
      </c>
      <c r="E5" s="7" t="s">
        <v>81</v>
      </c>
      <c r="F5" s="7" t="s">
        <v>82</v>
      </c>
    </row>
    <row r="6" customFormat="false" ht="15" hidden="false" customHeight="true" outlineLevel="0" collapsed="false">
      <c r="A6" s="6" t="s">
        <v>95</v>
      </c>
      <c r="B6" s="6" t="s">
        <v>96</v>
      </c>
      <c r="C6" s="6" t="s">
        <v>97</v>
      </c>
      <c r="D6" s="6" t="s">
        <v>98</v>
      </c>
      <c r="E6" s="6" t="s">
        <v>81</v>
      </c>
      <c r="F6" s="6" t="s">
        <v>82</v>
      </c>
    </row>
    <row r="7" customFormat="false" ht="15" hidden="false" customHeight="true" outlineLevel="0" collapsed="false">
      <c r="A7" s="7" t="s">
        <v>99</v>
      </c>
      <c r="B7" s="7" t="s">
        <v>100</v>
      </c>
      <c r="C7" s="7" t="s">
        <v>101</v>
      </c>
      <c r="D7" s="7" t="s">
        <v>102</v>
      </c>
      <c r="E7" s="7" t="s">
        <v>81</v>
      </c>
      <c r="F7" s="7" t="s">
        <v>82</v>
      </c>
    </row>
    <row r="8" customFormat="false" ht="15" hidden="false" customHeight="true" outlineLevel="0" collapsed="false">
      <c r="A8" s="6" t="s">
        <v>103</v>
      </c>
      <c r="B8" s="6" t="s">
        <v>104</v>
      </c>
      <c r="C8" s="6" t="s">
        <v>105</v>
      </c>
      <c r="D8" s="6" t="s">
        <v>106</v>
      </c>
      <c r="E8" s="6" t="s">
        <v>107</v>
      </c>
      <c r="F8" s="6" t="s">
        <v>82</v>
      </c>
    </row>
    <row r="9" customFormat="false" ht="23.25" hidden="false" customHeight="true" outlineLevel="0" collapsed="false">
      <c r="A9" s="7" t="s">
        <v>108</v>
      </c>
      <c r="B9" s="7" t="s">
        <v>109</v>
      </c>
      <c r="C9" s="7" t="s">
        <v>56</v>
      </c>
      <c r="D9" s="7" t="s">
        <v>110</v>
      </c>
      <c r="E9" s="7" t="s">
        <v>81</v>
      </c>
      <c r="F9" s="7" t="s">
        <v>111</v>
      </c>
    </row>
    <row r="10" customFormat="false" ht="34.5" hidden="false" customHeight="true" outlineLevel="0" collapsed="false">
      <c r="A10" s="6" t="s">
        <v>112</v>
      </c>
      <c r="B10" s="6" t="s">
        <v>113</v>
      </c>
      <c r="C10" s="6" t="s">
        <v>56</v>
      </c>
      <c r="D10" s="6" t="s">
        <v>114</v>
      </c>
      <c r="E10" s="6" t="s">
        <v>81</v>
      </c>
      <c r="F10" s="6" t="s">
        <v>115</v>
      </c>
    </row>
    <row r="11" customFormat="false" ht="23.25" hidden="false" customHeight="true" outlineLevel="0" collapsed="false">
      <c r="A11" s="7" t="s">
        <v>116</v>
      </c>
      <c r="B11" s="7" t="s">
        <v>117</v>
      </c>
      <c r="C11" s="7" t="s">
        <v>56</v>
      </c>
      <c r="D11" s="7" t="s">
        <v>118</v>
      </c>
      <c r="E11" s="7" t="s">
        <v>81</v>
      </c>
      <c r="F11" s="7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56"/>
    <col collapsed="false" customWidth="true" hidden="false" outlineLevel="0" max="3" min="3" style="1" width="12"/>
  </cols>
  <sheetData>
    <row r="1" customFormat="false" ht="15" hidden="false" customHeight="true" outlineLevel="0" collapsed="false">
      <c r="A1" s="5" t="s">
        <v>120</v>
      </c>
      <c r="B1" s="5" t="s">
        <v>121</v>
      </c>
      <c r="C1" s="5" t="s">
        <v>122</v>
      </c>
    </row>
    <row r="2" customFormat="false" ht="15" hidden="false" customHeight="true" outlineLevel="0" collapsed="false">
      <c r="A2" s="6" t="s">
        <v>123</v>
      </c>
      <c r="B2" s="6" t="s">
        <v>124</v>
      </c>
      <c r="C2" s="8" t="n">
        <v>0.35</v>
      </c>
    </row>
    <row r="3" customFormat="false" ht="15" hidden="false" customHeight="true" outlineLevel="0" collapsed="false">
      <c r="A3" s="7" t="s">
        <v>125</v>
      </c>
      <c r="B3" s="7" t="s">
        <v>126</v>
      </c>
      <c r="C3" s="9" t="n">
        <v>0.25</v>
      </c>
    </row>
    <row r="4" customFormat="false" ht="15" hidden="false" customHeight="true" outlineLevel="0" collapsed="false">
      <c r="A4" s="6" t="s">
        <v>127</v>
      </c>
      <c r="B4" s="6" t="s">
        <v>128</v>
      </c>
      <c r="C4" s="8" t="n">
        <v>0.15</v>
      </c>
    </row>
    <row r="5" customFormat="false" ht="15" hidden="false" customHeight="true" outlineLevel="0" collapsed="false">
      <c r="A5" s="7" t="s">
        <v>129</v>
      </c>
      <c r="B5" s="7" t="s">
        <v>130</v>
      </c>
      <c r="C5" s="9" t="n">
        <v>0.12</v>
      </c>
    </row>
    <row r="6" customFormat="false" ht="15" hidden="false" customHeight="true" outlineLevel="0" collapsed="false">
      <c r="A6" s="6" t="s">
        <v>131</v>
      </c>
      <c r="B6" s="6" t="s">
        <v>132</v>
      </c>
      <c r="C6" s="8" t="n">
        <v>0.08</v>
      </c>
    </row>
    <row r="7" customFormat="false" ht="15" hidden="false" customHeight="true" outlineLevel="0" collapsed="false">
      <c r="A7" s="7" t="s">
        <v>133</v>
      </c>
      <c r="B7" s="7" t="s">
        <v>134</v>
      </c>
      <c r="C7" s="9" t="n">
        <v>0.05</v>
      </c>
    </row>
    <row r="8" customFormat="false" ht="15" hidden="false" customHeight="true" outlineLevel="0" collapsed="false">
      <c r="A8" s="10" t="s">
        <v>135</v>
      </c>
      <c r="B8" s="11"/>
      <c r="C8" s="12" t="n">
        <f aca="false">SUM(C2:C7)</f>
        <v>1</v>
      </c>
    </row>
    <row r="10" customFormat="false" ht="15" hidden="false" customHeight="true" outlineLevel="0" collapsed="false">
      <c r="A10" s="1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9"/>
    <col collapsed="false" customWidth="true" hidden="false" outlineLevel="0" max="4" min="4" style="1" width="44"/>
    <col collapsed="false" customWidth="true" hidden="false" outlineLevel="0" max="5" min="5" style="1" width="4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5" t="s">
        <v>76</v>
      </c>
      <c r="B1" s="5" t="s">
        <v>12</v>
      </c>
      <c r="C1" s="5" t="s">
        <v>48</v>
      </c>
      <c r="D1" s="5" t="s">
        <v>49</v>
      </c>
      <c r="E1" s="5" t="s">
        <v>14</v>
      </c>
      <c r="F1" s="5" t="s">
        <v>15</v>
      </c>
    </row>
    <row r="2" customFormat="false" ht="23.25" hidden="false" customHeight="true" outlineLevel="0" collapsed="false">
      <c r="A2" s="6" t="s">
        <v>137</v>
      </c>
      <c r="B2" s="6" t="s">
        <v>138</v>
      </c>
      <c r="C2" s="6" t="s">
        <v>79</v>
      </c>
      <c r="D2" s="6" t="s">
        <v>139</v>
      </c>
      <c r="E2" s="6" t="s">
        <v>140</v>
      </c>
      <c r="F2" s="6" t="s">
        <v>141</v>
      </c>
    </row>
    <row r="3" customFormat="false" ht="23.25" hidden="false" customHeight="true" outlineLevel="0" collapsed="false">
      <c r="A3" s="7" t="s">
        <v>142</v>
      </c>
      <c r="B3" s="7" t="s">
        <v>143</v>
      </c>
      <c r="C3" s="7" t="s">
        <v>79</v>
      </c>
      <c r="D3" s="7" t="s">
        <v>144</v>
      </c>
      <c r="E3" s="7" t="s">
        <v>140</v>
      </c>
      <c r="F3" s="7" t="s">
        <v>145</v>
      </c>
    </row>
    <row r="4" customFormat="false" ht="15" hidden="false" customHeight="true" outlineLevel="0" collapsed="false">
      <c r="A4" s="6" t="s">
        <v>146</v>
      </c>
      <c r="B4" s="6" t="s">
        <v>147</v>
      </c>
      <c r="C4" s="6" t="s">
        <v>56</v>
      </c>
      <c r="D4" s="6" t="s">
        <v>148</v>
      </c>
      <c r="E4" s="6" t="s">
        <v>149</v>
      </c>
      <c r="F4" s="6" t="s">
        <v>20</v>
      </c>
    </row>
    <row r="5" customFormat="false" ht="15" hidden="false" customHeight="true" outlineLevel="0" collapsed="false">
      <c r="A5" s="7" t="s">
        <v>150</v>
      </c>
      <c r="B5" s="7" t="s">
        <v>151</v>
      </c>
      <c r="C5" s="7" t="s">
        <v>152</v>
      </c>
      <c r="D5" s="7" t="s">
        <v>153</v>
      </c>
      <c r="E5" s="7" t="s">
        <v>46</v>
      </c>
      <c r="F5" s="7" t="s">
        <v>20</v>
      </c>
    </row>
    <row r="6" customFormat="false" ht="15" hidden="false" customHeight="true" outlineLevel="0" collapsed="false">
      <c r="A6" s="6" t="s">
        <v>154</v>
      </c>
      <c r="B6" s="6" t="s">
        <v>155</v>
      </c>
      <c r="C6" s="6" t="s">
        <v>152</v>
      </c>
      <c r="D6" s="6" t="s">
        <v>156</v>
      </c>
      <c r="E6" s="6" t="s">
        <v>46</v>
      </c>
      <c r="F6" s="6" t="s">
        <v>20</v>
      </c>
    </row>
    <row r="7" customFormat="false" ht="15" hidden="false" customHeight="true" outlineLevel="0" collapsed="false">
      <c r="A7" s="7" t="s">
        <v>157</v>
      </c>
      <c r="B7" s="7" t="s">
        <v>158</v>
      </c>
      <c r="C7" s="7" t="s">
        <v>152</v>
      </c>
      <c r="D7" s="7" t="s">
        <v>159</v>
      </c>
      <c r="E7" s="7" t="s">
        <v>46</v>
      </c>
      <c r="F7" s="7" t="s">
        <v>160</v>
      </c>
    </row>
    <row r="8" customFormat="false" ht="15" hidden="false" customHeight="true" outlineLevel="0" collapsed="false">
      <c r="A8" s="6" t="s">
        <v>161</v>
      </c>
      <c r="B8" s="6" t="s">
        <v>162</v>
      </c>
      <c r="C8" s="6" t="s">
        <v>163</v>
      </c>
      <c r="D8" s="6" t="s">
        <v>164</v>
      </c>
      <c r="E8" s="6" t="s">
        <v>46</v>
      </c>
      <c r="F8" s="6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2026-08-28T20:05:07Z</dcterms:created>
  <dc:creator>openpyxl</dc:creator>
  <dc:description/>
  <dc:language>en-US</dc:language>
  <cp:lastModifiedBy/>
  <dcterms:modified xsi:type="dcterms:W3CDTF">2026-08-28T20:20:02Z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